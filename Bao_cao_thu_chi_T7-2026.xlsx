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et cong viec T7" sheetId="1" state="visible" r:id="rId1"/>
    <sheet name="Tong hop Thu-Chi T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13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F4E78"/>
      <sz val="11"/>
    </font>
    <font>
      <name val="Arial"/>
      <b val="1"/>
      <color rgb="00FFFFFF"/>
      <sz val="11"/>
    </font>
    <font>
      <name val="Arial"/>
      <i val="1"/>
      <color rgb="00808080"/>
      <sz val="9"/>
    </font>
    <font>
      <name val="Arial"/>
      <b val="1"/>
      <color rgb="00C55A11"/>
      <sz val="11"/>
    </font>
    <font>
      <name val="Arial"/>
      <b val="1"/>
      <color rgb="00375623"/>
      <sz val="12"/>
    </font>
    <font>
      <name val="Arial"/>
      <b val="1"/>
      <color rgb="00000000"/>
      <sz val="10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F9E6"/>
      </patternFill>
    </fill>
    <fill>
      <patternFill patternType="solid">
        <fgColor rgb="00C55A11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3" borderId="1" pivotButton="0" quotePrefix="0" xfId="0"/>
    <xf numFmtId="164" fontId="4" fillId="4" borderId="1" pivotButton="0" quotePrefix="0" xfId="0"/>
    <xf numFmtId="164" fontId="5" fillId="0" borderId="1" pivotButton="0" quotePrefix="0" xfId="0"/>
    <xf numFmtId="0" fontId="6" fillId="5" borderId="1" applyAlignment="1" pivotButton="0" quotePrefix="0" xfId="0">
      <alignment horizontal="right" vertical="center"/>
    </xf>
    <xf numFmtId="0" fontId="0" fillId="0" borderId="1" pivotButton="0" quotePrefix="0" xfId="0"/>
    <xf numFmtId="164" fontId="6" fillId="5" borderId="1" pivotButton="0" quotePrefix="0" xfId="0"/>
    <xf numFmtId="0" fontId="7" fillId="2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7" fillId="7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38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CHI TIẾT CÔNG VIỆC - THÁNG 7/2026</t>
        </is>
      </c>
    </row>
    <row r="2">
      <c r="A2" s="2" t="inlineStr">
        <is>
          <t>Đơn vị: đồng (VNĐ). Cột cam là ô nhập tay chi phí thực tế của từng công việc.</t>
        </is>
      </c>
    </row>
    <row r="4">
      <c r="A4" s="3" t="inlineStr">
        <is>
          <t>STT</t>
        </is>
      </c>
      <c r="B4" s="3" t="inlineStr">
        <is>
          <t>Ngày</t>
        </is>
      </c>
      <c r="C4" s="3" t="inlineStr">
        <is>
          <t>Công trình / Địa chỉ</t>
        </is>
      </c>
      <c r="D4" s="3" t="inlineStr">
        <is>
          <t>Nội dung công việc</t>
        </is>
      </c>
      <c r="E4" s="3" t="inlineStr">
        <is>
          <t>Doanh thu (thu về)</t>
        </is>
      </c>
      <c r="F4" s="3" t="inlineStr">
        <is>
          <t>Chi phí thực tế</t>
        </is>
      </c>
      <c r="G4" s="3" t="inlineStr">
        <is>
          <t>Lời / Lỗ</t>
        </is>
      </c>
    </row>
    <row r="5" ht="30" customHeight="1">
      <c r="A5" s="4" t="n">
        <v>1</v>
      </c>
      <c r="B5" s="4" t="inlineStr">
        <is>
          <t>9/7</t>
        </is>
      </c>
      <c r="C5" s="5" t="inlineStr">
        <is>
          <t>197 Điện Biên Phủ</t>
        </is>
      </c>
      <c r="D5" s="5" t="inlineStr">
        <is>
          <t>Sửa chữa thang - tháo lắp biến tần</t>
        </is>
      </c>
      <c r="E5" s="6" t="n">
        <v>600000</v>
      </c>
      <c r="F5" s="7" t="n">
        <v>0</v>
      </c>
      <c r="G5" s="8">
        <f>E5-F5</f>
        <v>600000</v>
      </c>
    </row>
    <row r="6" ht="30" customHeight="1">
      <c r="A6" s="4" t="n">
        <v>2</v>
      </c>
      <c r="B6" s="4" t="inlineStr">
        <is>
          <t>10/7</t>
        </is>
      </c>
      <c r="C6" s="5" t="inlineStr">
        <is>
          <t>205A Nguyễn Xí (thang phải)</t>
        </is>
      </c>
      <c r="D6" s="5" t="inlineStr">
        <is>
          <t>Sửa chữa</t>
        </is>
      </c>
      <c r="E6" s="6" t="n">
        <v>300000</v>
      </c>
      <c r="F6" s="7" t="n">
        <v>0</v>
      </c>
      <c r="G6" s="8">
        <f>E6-F6</f>
        <v>300000</v>
      </c>
    </row>
    <row r="7" ht="30" customHeight="1">
      <c r="A7" s="4" t="n">
        <v>3</v>
      </c>
      <c r="B7" s="4" t="inlineStr">
        <is>
          <t>12/7</t>
        </is>
      </c>
      <c r="C7" s="5" t="inlineStr">
        <is>
          <t>205A Nguyễn Xí (thang trái)</t>
        </is>
      </c>
      <c r="D7" s="5" t="inlineStr">
        <is>
          <t>Kết nối điện đầu cửa cabin ngoài</t>
        </is>
      </c>
      <c r="E7" s="6" t="n">
        <v>300000</v>
      </c>
      <c r="F7" s="7" t="n">
        <v>0</v>
      </c>
      <c r="G7" s="8">
        <f>E7-F7</f>
        <v>300000</v>
      </c>
    </row>
    <row r="8" ht="30" customHeight="1">
      <c r="A8" s="4" t="n">
        <v>4</v>
      </c>
      <c r="B8" s="4" t="inlineStr">
        <is>
          <t>16/7</t>
        </is>
      </c>
      <c r="C8" s="5" t="inlineStr">
        <is>
          <t>33/39 Quốc Hương</t>
        </is>
      </c>
      <c r="D8" s="5" t="inlineStr">
        <is>
          <t>Chạy up, vệ sinh khung hố thang máy</t>
        </is>
      </c>
      <c r="E8" s="6" t="n">
        <v>300000</v>
      </c>
      <c r="F8" s="7" t="n">
        <v>0</v>
      </c>
      <c r="G8" s="8">
        <f>E8-F8</f>
        <v>300000</v>
      </c>
    </row>
    <row r="9" ht="30" customHeight="1">
      <c r="A9" s="4" t="n">
        <v>5</v>
      </c>
      <c r="B9" s="4" t="inlineStr">
        <is>
          <t>16/7</t>
        </is>
      </c>
      <c r="C9" s="5" t="inlineStr">
        <is>
          <t>Công trình nâng stop</t>
        </is>
      </c>
      <c r="D9" s="5" t="inlineStr">
        <is>
          <t>Nâng stop 200 ly tự trọng, gắn điện thoại 2 thang</t>
        </is>
      </c>
      <c r="E9" s="6" t="n">
        <v>3000000</v>
      </c>
      <c r="F9" s="7" t="n">
        <v>0</v>
      </c>
      <c r="G9" s="8">
        <f>E9-F9</f>
        <v>3000000</v>
      </c>
    </row>
    <row r="10" ht="30" customHeight="1">
      <c r="A10" s="4" t="n">
        <v>6</v>
      </c>
      <c r="B10" s="4" t="inlineStr">
        <is>
          <t>17/7</t>
        </is>
      </c>
      <c r="C10" s="5" t="inlineStr">
        <is>
          <t>325 Phạm Ngũ Lão</t>
        </is>
      </c>
      <c r="D10" s="5" t="inlineStr">
        <is>
          <t>Thay đèn</t>
        </is>
      </c>
      <c r="E10" s="6" t="n">
        <v>300000</v>
      </c>
      <c r="F10" s="7" t="n">
        <v>0</v>
      </c>
      <c r="G10" s="8">
        <f>E10-F10</f>
        <v>300000</v>
      </c>
    </row>
    <row r="11" ht="30" customHeight="1">
      <c r="A11" s="4" t="n">
        <v>7</v>
      </c>
      <c r="B11" s="4" t="inlineStr">
        <is>
          <t>18/7</t>
        </is>
      </c>
      <c r="C11" s="5" t="inlineStr">
        <is>
          <t>116/40 Trần Khánh Dư</t>
        </is>
      </c>
      <c r="D11" s="5" t="inlineStr">
        <is>
          <t>Sửa chữa</t>
        </is>
      </c>
      <c r="E11" s="6" t="n">
        <v>300000</v>
      </c>
      <c r="F11" s="7" t="n">
        <v>0</v>
      </c>
      <c r="G11" s="8">
        <f>E11-F11</f>
        <v>300000</v>
      </c>
    </row>
    <row r="12" ht="30" customHeight="1">
      <c r="A12" s="4" t="n">
        <v>8</v>
      </c>
      <c r="B12" s="4" t="inlineStr">
        <is>
          <t>21/7</t>
        </is>
      </c>
      <c r="C12" s="5" t="inlineStr">
        <is>
          <t>25 Hưng Phước 2, Q7</t>
        </is>
      </c>
      <c r="D12" s="5" t="inlineStr">
        <is>
          <t>Sửa chữa</t>
        </is>
      </c>
      <c r="E12" s="6" t="n">
        <v>300000</v>
      </c>
      <c r="F12" s="7" t="n">
        <v>0</v>
      </c>
      <c r="G12" s="8">
        <f>E12-F12</f>
        <v>300000</v>
      </c>
    </row>
    <row r="13" ht="30" customHeight="1">
      <c r="A13" s="4" t="n">
        <v>9</v>
      </c>
      <c r="B13" s="4" t="inlineStr">
        <is>
          <t>22/7</t>
        </is>
      </c>
      <c r="C13" s="5" t="inlineStr">
        <is>
          <t>29 Nguyễn Khắc Nhu</t>
        </is>
      </c>
      <c r="D13" s="5" t="inlineStr">
        <is>
          <t>Sửa chữa</t>
        </is>
      </c>
      <c r="E13" s="6" t="n">
        <v>300000</v>
      </c>
      <c r="F13" s="7" t="n">
        <v>0</v>
      </c>
      <c r="G13" s="8">
        <f>E13-F13</f>
        <v>300000</v>
      </c>
    </row>
    <row r="14" ht="30" customHeight="1">
      <c r="A14" s="4" t="n">
        <v>10</v>
      </c>
      <c r="B14" s="4" t="inlineStr">
        <is>
          <t>22/7</t>
        </is>
      </c>
      <c r="C14" s="5" t="inlineStr">
        <is>
          <t>149-151 Nguyễn Du</t>
        </is>
      </c>
      <c r="D14" s="5" t="inlineStr">
        <is>
          <t>Gắn 2 điện thoại</t>
        </is>
      </c>
      <c r="E14" s="6" t="n">
        <v>1500000</v>
      </c>
      <c r="F14" s="7" t="n">
        <v>0</v>
      </c>
      <c r="G14" s="8">
        <f>E14-F14</f>
        <v>1500000</v>
      </c>
    </row>
    <row r="15" ht="30" customHeight="1">
      <c r="A15" s="4" t="n">
        <v>11</v>
      </c>
      <c r="B15" s="4" t="inlineStr">
        <is>
          <t>24/7</t>
        </is>
      </c>
      <c r="C15" s="5" t="inlineStr">
        <is>
          <t>61 Đường số 2, Thảo Điền</t>
        </is>
      </c>
      <c r="D15" s="5" t="inlineStr">
        <is>
          <t>Sửa chữa</t>
        </is>
      </c>
      <c r="E15" s="6" t="n">
        <v>300000</v>
      </c>
      <c r="F15" s="7" t="n">
        <v>0</v>
      </c>
      <c r="G15" s="8">
        <f>E15-F15</f>
        <v>300000</v>
      </c>
    </row>
    <row r="16" ht="30" customHeight="1">
      <c r="A16" s="4" t="n">
        <v>12</v>
      </c>
      <c r="B16" s="4" t="inlineStr">
        <is>
          <t>25/7</t>
        </is>
      </c>
      <c r="C16" s="5" t="inlineStr">
        <is>
          <t>Nhà trọ Q12</t>
        </is>
      </c>
      <c r="D16" s="5" t="inlineStr">
        <is>
          <t>Sửa chữa công trình</t>
        </is>
      </c>
      <c r="E16" s="6" t="n">
        <v>300000</v>
      </c>
      <c r="F16" s="7" t="n">
        <v>0</v>
      </c>
      <c r="G16" s="8">
        <f>E16-F16</f>
        <v>300000</v>
      </c>
    </row>
    <row r="17" ht="30" customHeight="1">
      <c r="A17" s="4" t="n">
        <v>13</v>
      </c>
      <c r="B17" s="4" t="inlineStr">
        <is>
          <t>28/7</t>
        </is>
      </c>
      <c r="C17" s="5" t="inlineStr">
        <is>
          <t>Quốc Hương + 29 Nguyễn Khắc Nhu</t>
        </is>
      </c>
      <c r="D17" s="5" t="inlineStr">
        <is>
          <t>Sửa chữa + hỗ trợ</t>
        </is>
      </c>
      <c r="E17" s="6" t="n">
        <v>300000</v>
      </c>
      <c r="F17" s="7" t="n">
        <v>0</v>
      </c>
      <c r="G17" s="8">
        <f>E17-F17</f>
        <v>300000</v>
      </c>
    </row>
    <row r="18">
      <c r="A18" s="9" t="inlineStr">
        <is>
          <t>TỔNG CỘNG</t>
        </is>
      </c>
      <c r="B18" s="10" t="n"/>
      <c r="C18" s="10" t="n"/>
      <c r="D18" s="10" t="n"/>
      <c r="E18" s="11">
        <f>SUM(E5:E17)</f>
        <v>8100000</v>
      </c>
      <c r="F18" s="11">
        <f>SUM(F5:F17)</f>
        <v>0</v>
      </c>
      <c r="G18" s="11">
        <f>SUM(G5:G17)</f>
        <v>8100000</v>
      </c>
    </row>
  </sheetData>
  <mergeCells count="3">
    <mergeCell ref="A2:G2"/>
    <mergeCell ref="A1:G1"/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 ht="22" customHeight="1">
      <c r="A1" s="1" t="inlineStr">
        <is>
          <t>BÁO CÁO TỔNG HỢP THU - CHI - LỜI/LỖ | THÁNG 7/2026</t>
        </is>
      </c>
    </row>
    <row r="2">
      <c r="A2" s="2" t="inlineStr">
        <is>
          <t>Ô màu xanh/cam có chữ XANH là ô ANH NHẬP TAY. Các dòng Tổng và Lời/Lỗ tự động tính.</t>
        </is>
      </c>
    </row>
    <row r="4">
      <c r="A4" s="12" t="inlineStr">
        <is>
          <t>A. PHẦN THU (Doanh thu)</t>
        </is>
      </c>
      <c r="B4" s="10" t="n"/>
      <c r="C4" s="10" t="n"/>
    </row>
    <row r="5">
      <c r="A5" s="5" t="inlineStr">
        <is>
          <t>1. Sửa chữa &amp; dịch vụ (từ sheet Chi tiết)</t>
        </is>
      </c>
      <c r="B5" s="13">
        <f>'Chi tiet cong viec T7'!E18</f>
        <v>8100000</v>
      </c>
      <c r="C5" s="14" t="inlineStr">
        <is>
          <t>Tự lấy tổng bên sheet Chi tiết</t>
        </is>
      </c>
    </row>
    <row r="6">
      <c r="A6" s="5" t="inlineStr">
        <is>
          <t>2. Bảo trì định kỳ (hợp đồng tháng)</t>
        </is>
      </c>
      <c r="B6" s="15" t="n">
        <v>0</v>
      </c>
      <c r="C6" s="14" t="inlineStr">
        <is>
          <t>Anh điền: tổng tiền các HĐ bảo trì thu trong tháng</t>
        </is>
      </c>
    </row>
    <row r="7">
      <c r="A7" s="5" t="inlineStr">
        <is>
          <t>3. Lắp đặt mới / cải tạo</t>
        </is>
      </c>
      <c r="B7" s="15" t="n">
        <v>0</v>
      </c>
      <c r="C7" s="14" t="inlineStr">
        <is>
          <t>Anh điền nếu có</t>
        </is>
      </c>
    </row>
    <row r="8">
      <c r="A8" s="5" t="inlineStr">
        <is>
          <t>4. Thu khác</t>
        </is>
      </c>
      <c r="B8" s="15" t="n">
        <v>0</v>
      </c>
      <c r="C8" s="14" t="inlineStr">
        <is>
          <t>Anh điền nếu có</t>
        </is>
      </c>
    </row>
    <row r="9">
      <c r="A9" s="9" t="inlineStr">
        <is>
          <t>TỔNG THU</t>
        </is>
      </c>
      <c r="B9" s="16">
        <f>SUM(B5:B8)</f>
        <v>8100000</v>
      </c>
      <c r="C9" s="17" t="n"/>
    </row>
    <row r="11">
      <c r="A11" s="18" t="inlineStr">
        <is>
          <t>B. PHẦN CHI (Chi phí)</t>
        </is>
      </c>
      <c r="B11" s="10" t="n"/>
      <c r="C11" s="10" t="n"/>
    </row>
    <row r="12">
      <c r="A12" s="5" t="inlineStr">
        <is>
          <t>1. Vật tư, linh kiện thay thế</t>
        </is>
      </c>
      <c r="B12" s="15" t="n">
        <v>0</v>
      </c>
      <c r="C12" s="14" t="inlineStr">
        <is>
          <t>Biến tần, đèn, điện thoại, dây, board...</t>
        </is>
      </c>
    </row>
    <row r="13">
      <c r="A13" s="5" t="inlineStr">
        <is>
          <t>2. Nhân công / công thợ</t>
        </is>
      </c>
      <c r="B13" s="15" t="n">
        <v>0</v>
      </c>
      <c r="C13" s="14" t="inlineStr">
        <is>
          <t>Tiền công anh em kỹ thuật đi làm</t>
        </is>
      </c>
    </row>
    <row r="14">
      <c r="A14" s="5" t="inlineStr">
        <is>
          <t>3. Xăng xe, di chuyển</t>
        </is>
      </c>
      <c r="B14" s="15" t="n">
        <v>0</v>
      </c>
      <c r="C14" s="14" t="inlineStr">
        <is>
          <t>Xăng, gửi xe, cầu đường</t>
        </is>
      </c>
    </row>
    <row r="15">
      <c r="A15" s="5" t="inlineStr">
        <is>
          <t>4. Ăn uống, công tác</t>
        </is>
      </c>
      <c r="B15" s="15" t="n">
        <v>0</v>
      </c>
      <c r="C15" s="14" t="inlineStr">
        <is>
          <t>Cơm nước khi đi công trình</t>
        </is>
      </c>
    </row>
    <row r="16">
      <c r="A16" s="5" t="inlineStr">
        <is>
          <t>5. Công cụ, dụng cụ</t>
        </is>
      </c>
      <c r="B16" s="15" t="n">
        <v>0</v>
      </c>
      <c r="C16" s="14" t="inlineStr">
        <is>
          <t>Mua/khấu hao đồ nghề</t>
        </is>
      </c>
    </row>
    <row r="17">
      <c r="A17" s="5" t="inlineStr">
        <is>
          <t>6. Thuê ngoài</t>
        </is>
      </c>
      <c r="B17" s="15" t="n">
        <v>0</v>
      </c>
      <c r="C17" s="14" t="inlineStr">
        <is>
          <t>Thuê thợ/đơn vị khác hỗ trợ</t>
        </is>
      </c>
    </row>
    <row r="18">
      <c r="A18" s="5" t="inlineStr">
        <is>
          <t>7. Chi phí khác</t>
        </is>
      </c>
      <c r="B18" s="15" t="n">
        <v>0</v>
      </c>
      <c r="C18" s="14" t="inlineStr">
        <is>
          <t>Điện thoại, văn phòng, phát sinh...</t>
        </is>
      </c>
    </row>
    <row r="19">
      <c r="A19" s="19" t="inlineStr">
        <is>
          <t>TỔNG CHI</t>
        </is>
      </c>
      <c r="B19" s="20">
        <f>SUM(B12:B18)</f>
        <v>0</v>
      </c>
      <c r="C19" s="17" t="n"/>
    </row>
    <row r="21">
      <c r="A21" s="21" t="inlineStr">
        <is>
          <t>C. LỜI / LỖ RÒNG  (Tổng thu - Tổng chi)</t>
        </is>
      </c>
      <c r="B21" s="22">
        <f>B9-B19</f>
        <v>8100000</v>
      </c>
      <c r="C21" s="23" t="n"/>
    </row>
    <row r="23">
      <c r="A23" s="24" t="inlineStr">
        <is>
          <t>GHI CHÚ:</t>
        </is>
      </c>
    </row>
    <row r="24">
      <c r="A24" s="25" t="inlineStr">
        <is>
          <t>• Dòng 'Sửa chữa &amp; dịch vụ' tự lấy 8.100.000đ từ sheet Chi tiết — không cần nhập.</t>
        </is>
      </c>
    </row>
    <row r="25">
      <c r="A25" s="25" t="inlineStr">
        <is>
          <t>• Các ô nền vàng nhạt (chữ xanh) = anh nhập số tiền thật vào.</t>
        </is>
      </c>
    </row>
    <row r="26">
      <c r="A26" s="25" t="inlineStr">
        <is>
          <t>• Chưa có số nào thì để 0; điền tới đâu Lời/Lỗ ròng tự cập nhật tới đó.</t>
        </is>
      </c>
    </row>
  </sheetData>
  <mergeCells count="8">
    <mergeCell ref="A25:C25"/>
    <mergeCell ref="A11:C11"/>
    <mergeCell ref="A1:C1"/>
    <mergeCell ref="A21"/>
    <mergeCell ref="A4:C4"/>
    <mergeCell ref="A26:C26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2026-07-31T16:10:48Z</dcterms:created>
  <dcterms:modified xsi:type="dcterms:W3CDTF">2026-07-31T16:10:48Z</dcterms:modified>
</cp:coreProperties>
</file>